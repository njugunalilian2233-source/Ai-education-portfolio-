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F607AB4C-CEF7-E749-A4E2-2635DAF0F6C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 Data" sheetId="1" r:id="rId1"/>
    <sheet name="Dashboard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I2" i="1"/>
  <c r="I3" i="1"/>
  <c r="I4" i="1"/>
  <c r="I5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B3" i="2"/>
</calcChain>
</file>

<file path=xl/sharedStrings.xml><?xml version="1.0" encoding="utf-8"?>
<sst xmlns="http://schemas.openxmlformats.org/spreadsheetml/2006/main" count="52" uniqueCount="52">
  <si>
    <t>Student ID</t>
  </si>
  <si>
    <t>Student Name</t>
  </si>
  <si>
    <t>Grade</t>
  </si>
  <si>
    <t>Math %</t>
  </si>
  <si>
    <t>English %</t>
  </si>
  <si>
    <t>Science %</t>
  </si>
  <si>
    <t>Attendance %</t>
  </si>
  <si>
    <t>Coaching Sessions</t>
  </si>
  <si>
    <t>Mastery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</si>
  <si>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</si>
  <si>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</si>
  <si>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</si>
  <si>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</si>
  <si>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</si>
  <si>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</si>
  <si>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</si>
  <si>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</si>
  <si>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</si>
  <si>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</si>
  <si>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</si>
  <si>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</si>
  <si>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</si>
  <si>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</si>
  <si>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</si>
  <si>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</si>
  <si>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</si>
  <si>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</si>
  <si>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</si>
  <si>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</si>
  <si>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Student Learning Dashboard</t>
  </si>
  <si>
    <t>Average Mastery %</t>
  </si>
  <si>
    <t>Average Attendance %</t>
  </si>
  <si>
    <t>Amina Hassan</t>
  </si>
  <si>
    <t xml:space="preserve"> Brian Njoroge </t>
  </si>
  <si>
    <t>Carol Nduta</t>
  </si>
  <si>
    <t>David Kariuki</t>
  </si>
  <si>
    <t>Emma Njeri</t>
  </si>
  <si>
    <t xml:space="preserve">Faith Njoroge </t>
  </si>
  <si>
    <t>George Kinya</t>
  </si>
  <si>
    <t>Hannah Njeri</t>
  </si>
  <si>
    <t xml:space="preserve"> Ian Onyisa</t>
  </si>
  <si>
    <t>Joy Janet</t>
  </si>
  <si>
    <t>Kevin Wafula</t>
  </si>
  <si>
    <t>Linda Moses</t>
  </si>
  <si>
    <t xml:space="preserve"> Mark Mukundi</t>
  </si>
  <si>
    <t>Nina Ishmael</t>
  </si>
  <si>
    <t>Oscar Waweru</t>
  </si>
  <si>
    <t xml:space="preserve">Pam Wambui </t>
  </si>
  <si>
    <t xml:space="preserve"> Quinn Shael</t>
  </si>
  <si>
    <t xml:space="preserve">Ruth Njee </t>
  </si>
  <si>
    <t xml:space="preserve"> Steve Muigau</t>
  </si>
  <si>
    <t>Tina Mutua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</si>
</sst>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Student Mastery Scores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'Student Data'!I1</c:f>
              <c:strCache>
                <c:ptCount val="1"/>
                <c:pt idx="0">
                  <c:v>Mastery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'Student Data'!$B$2:$B$11</c:f>
              <c:strCache>
                <c:ptCount val="10"/>
                <c:pt idx="0">
                  <c:v>Amina Hassan</c:v>
                </c:pt>
                <c:pt idx="1">
                  <c:v> Brian Njoroge </c:v>
                </c:pt>
                <c:pt idx="2">
                  <c:v>Carol Nduta</c:v>
                </c:pt>
                <c:pt idx="3">
                  <c:v>David Kariuki</c:v>
                </c:pt>
                <c:pt idx="4">
                  <c:v>Emma Njeri</c:v>
                </c:pt>
                <c:pt idx="5">
                  <c:v>Faith Njoroge </c:v>
                </c:pt>
                <c:pt idx="6">
                  <c:v>George Kinya</c:v>
                </c:pt>
                <c:pt idx="7">
                  <c:v>Hannah Njeri</c:v>
                </c:pt>
                <c:pt idx="8">
                  <c:v> Ian Onyisa</c:v>
                </c:pt>
                <c:pt idx="9">
                  <c:v>Joy Janet</c:v>
                </c:pt>
              </c:strCache>
            </c:strRef>
          </c:cat>
          <c:val>
            <c:numRef>
              <c:f>'Student Data'!$I$2:$I$11</c:f>
              <c:numCache>
                <c:formatCode>General</c:formatCode>
                <c:ptCount val="10"/>
                <c:pt idx="0">
                  <c:v>64</c:v>
                </c:pt>
                <c:pt idx="1">
                  <c:v>67</c:v>
                </c:pt>
                <c:pt idx="2">
                  <c:v>70</c:v>
                </c:pt>
                <c:pt idx="3">
                  <c:v>73</c:v>
                </c:pt>
                <c:pt idx="4">
                  <c:v>76</c:v>
                </c:pt>
                <c:pt idx="5">
                  <c:v>79</c:v>
                </c:pt>
                <c:pt idx="6">
                  <c:v>82</c:v>
                </c:pt>
                <c:pt idx="7">
                  <c:v>85</c:v>
                </c:pt>
                <c:pt idx="8">
                  <c:v>75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7-CD4E-8A53-4C4BCF1A0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Mastery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Attendance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'Student Data'!G1</c:f>
              <c:strCache>
                <c:ptCount val="1"/>
                <c:pt idx="0">
                  <c:v>Attendance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'Student Data'!$B$2:$B$21</c:f>
              <c:strCache>
                <c:ptCount val="20"/>
                <c:pt idx="0">
                  <c:v>Amina Hassan</c:v>
                </c:pt>
                <c:pt idx="1">
                  <c:v> Brian Njoroge </c:v>
                </c:pt>
                <c:pt idx="2">
                  <c:v>Carol Nduta</c:v>
                </c:pt>
                <c:pt idx="3">
                  <c:v>David Kariuki</c:v>
                </c:pt>
                <c:pt idx="4">
                  <c:v>Emma Njeri</c:v>
                </c:pt>
                <c:pt idx="5">
                  <c:v>Faith Njoroge </c:v>
                </c:pt>
                <c:pt idx="6">
                  <c:v>George Kinya</c:v>
                </c:pt>
                <c:pt idx="7">
                  <c:v>Hannah Njeri</c:v>
                </c:pt>
                <c:pt idx="8">
                  <c:v> Ian Onyisa</c:v>
                </c:pt>
                <c:pt idx="9">
                  <c:v>Joy Janet</c:v>
                </c:pt>
                <c:pt idx="10">
                  <c:v>Kevin Wafula</c:v>
                </c:pt>
                <c:pt idx="11">
                  <c:v>Linda Moses</c:v>
                </c:pt>
                <c:pt idx="12">
                  <c:v> Mark Mukundi</c:v>
                </c:pt>
                <c:pt idx="13">
                  <c:v>Nina Ishmael</c:v>
                </c:pt>
                <c:pt idx="14">
                  <c:v>Oscar Waweru</c:v>
                </c:pt>
                <c:pt idx="15">
                  <c:v>Pam Wambui </c:v>
                </c:pt>
                <c:pt idx="16">
                  <c:v> Quinn Shael</c:v>
                </c:pt>
                <c:pt idx="17">
                  <c:v>Ruth Njee </c:v>
                </c:pt>
                <c:pt idx="18">
                  <c:v> Steve Muigau</c:v>
                </c:pt>
                <c:pt idx="19">
                  <c:v>Tina Mutua</c:v>
                </c:pt>
              </c:strCache>
            </c:strRef>
          </c:cat>
          <c:val>
            <c:numRef>
              <c:f>'Student Data'!$G$2:$G$21</c:f>
              <c:numCache>
                <c:formatCode>General</c:formatCode>
                <c:ptCount val="20"/>
                <c:pt idx="0">
                  <c:v>79</c:v>
                </c:pt>
                <c:pt idx="1">
                  <c:v>81</c:v>
                </c:pt>
                <c:pt idx="2">
                  <c:v>83</c:v>
                </c:pt>
                <c:pt idx="3">
                  <c:v>85</c:v>
                </c:pt>
                <c:pt idx="4">
                  <c:v>87</c:v>
                </c:pt>
                <c:pt idx="5">
                  <c:v>89</c:v>
                </c:pt>
                <c:pt idx="6">
                  <c:v>91</c:v>
                </c:pt>
                <c:pt idx="7">
                  <c:v>93</c:v>
                </c:pt>
                <c:pt idx="8">
                  <c:v>95</c:v>
                </c:pt>
                <c:pt idx="9">
                  <c:v>97</c:v>
                </c:pt>
                <c:pt idx="10">
                  <c:v>99</c:v>
                </c:pt>
                <c:pt idx="11">
                  <c:v>76</c:v>
                </c:pt>
                <c:pt idx="12">
                  <c:v>78</c:v>
                </c:pt>
                <c:pt idx="13">
                  <c:v>80</c:v>
                </c:pt>
                <c:pt idx="14">
                  <c:v>82</c:v>
                </c:pt>
                <c:pt idx="15">
                  <c:v>84</c:v>
                </c:pt>
                <c:pt idx="16">
                  <c:v>86</c:v>
                </c:pt>
                <c:pt idx="17">
                  <c:v>88</c:v>
                </c:pt>
                <c:pt idx="18">
                  <c:v>90</c:v>
                </c:pt>
                <c:pt idx="19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70-2346-92C8-4B5102D6C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Attendance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C25" sqref="C25"/>
    </sheetView>
  </sheetViews>
  <sheetFormatPr defaultRowHeight="15" x14ac:dyDescent="0.2"/>
  <cols>
    <col min="1" max="1" width="16.140625" customWidth="1"/>
    <col min="2" max="2" width="21.25390625" customWidth="1"/>
    <col min="3" max="3" width="16.94921875" customWidth="1"/>
    <col min="4" max="4" width="14.796875" customWidth="1"/>
    <col min="5" max="5" width="16.94921875" customWidth="1"/>
    <col min="6" max="6" width="14.796875" customWidth="1"/>
    <col min="7" max="7" width="16.140625" customWidth="1"/>
    <col min="8" max="8" width="17.21875" customWidth="1"/>
    <col min="9" max="9" width="19.371093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32</v>
      </c>
      <c r="C2">
        <v>4</v>
      </c>
      <c r="D2">
        <v>59</v>
      </c>
      <c r="E2">
        <v>66</v>
      </c>
      <c r="F2">
        <v>66</v>
      </c>
      <c r="G2">
        <v>79</v>
      </c>
      <c r="H2">
        <v>3</v>
      </c>
      <c r="I2">
        <f>ROUND(AVERAGE(D2:F2),0)</f>
        <v>64</v>
      </c>
    </row>
    <row r="3" spans="1:9" x14ac:dyDescent="0.2">
      <c r="A3" t="s">
        <v>10</v>
      </c>
      <c r="B3" t="s">
        <v>33</v>
      </c>
      <c r="C3">
        <v>5</v>
      </c>
      <c r="D3">
        <v>61</v>
      </c>
      <c r="E3">
        <v>69</v>
      </c>
      <c r="F3">
        <v>70</v>
      </c>
      <c r="G3">
        <v>81</v>
      </c>
      <c r="H3">
        <v>4</v>
      </c>
      <c r="I3">
        <f>ROUND(AVERAGE(D3:F3),0)</f>
        <v>67</v>
      </c>
    </row>
    <row r="4" spans="1:9" x14ac:dyDescent="0.2">
      <c r="A4" t="s">
        <v>11</v>
      </c>
      <c r="B4" t="s">
        <v>34</v>
      </c>
      <c r="C4">
        <v>6</v>
      </c>
      <c r="D4">
        <v>63</v>
      </c>
      <c r="E4">
        <v>72</v>
      </c>
      <c r="F4">
        <v>74</v>
      </c>
      <c r="G4">
        <v>83</v>
      </c>
      <c r="H4">
        <v>5</v>
      </c>
      <c r="I4">
        <f>ROUND(AVERAGE(D4:F4),0)</f>
        <v>70</v>
      </c>
    </row>
    <row r="5" spans="1:9" x14ac:dyDescent="0.2">
      <c r="A5" t="s">
        <v>12</v>
      </c>
      <c r="B5" t="s">
        <v>35</v>
      </c>
      <c r="C5">
        <v>7</v>
      </c>
      <c r="D5">
        <v>65</v>
      </c>
      <c r="E5">
        <v>75</v>
      </c>
      <c r="F5">
        <v>78</v>
      </c>
      <c r="G5">
        <v>85</v>
      </c>
      <c r="H5">
        <v>1</v>
      </c>
      <c r="I5">
        <f>ROUND(AVERAGE(D5:F5),0)</f>
        <v>73</v>
      </c>
    </row>
    <row r="6" spans="1:9" x14ac:dyDescent="0.2">
      <c r="A6" t="s">
        <v>13</v>
      </c>
      <c r="B6" t="s">
        <v>36</v>
      </c>
      <c r="C6">
        <v>8</v>
      </c>
      <c r="D6">
        <v>67</v>
      </c>
      <c r="E6">
        <v>78</v>
      </c>
      <c r="F6">
        <v>82</v>
      </c>
      <c r="G6">
        <v>87</v>
      </c>
      <c r="H6">
        <v>2</v>
      </c>
      <c r="I6">
        <f>ROUND(AVERAGE(D6:F6),0)</f>
        <v>76</v>
      </c>
    </row>
    <row r="7" spans="1:9" x14ac:dyDescent="0.2">
      <c r="A7" t="s">
        <v>14</v>
      </c>
      <c r="B7" t="s">
        <v>37</v>
      </c>
      <c r="C7">
        <v>4</v>
      </c>
      <c r="D7">
        <v>69</v>
      </c>
      <c r="E7">
        <v>81</v>
      </c>
      <c r="F7">
        <v>86</v>
      </c>
      <c r="G7">
        <v>89</v>
      </c>
      <c r="H7">
        <v>3</v>
      </c>
      <c r="I7">
        <f>ROUND(AVERAGE(D7:F7),0)</f>
        <v>79</v>
      </c>
    </row>
    <row r="8" spans="1:9" x14ac:dyDescent="0.2">
      <c r="A8" t="s">
        <v>15</v>
      </c>
      <c r="B8" t="s">
        <v>38</v>
      </c>
      <c r="C8">
        <v>5</v>
      </c>
      <c r="D8">
        <v>71</v>
      </c>
      <c r="E8">
        <v>84</v>
      </c>
      <c r="F8">
        <v>90</v>
      </c>
      <c r="G8">
        <v>91</v>
      </c>
      <c r="H8">
        <v>4</v>
      </c>
      <c r="I8">
        <f>ROUND(AVERAGE(D8:F8),0)</f>
        <v>82</v>
      </c>
    </row>
    <row r="9" spans="1:9" x14ac:dyDescent="0.2">
      <c r="A9" t="s">
        <v>16</v>
      </c>
      <c r="B9" t="s">
        <v>39</v>
      </c>
      <c r="C9">
        <v>6</v>
      </c>
      <c r="D9">
        <v>73</v>
      </c>
      <c r="E9">
        <v>87</v>
      </c>
      <c r="F9">
        <v>94</v>
      </c>
      <c r="G9">
        <v>93</v>
      </c>
      <c r="H9">
        <v>5</v>
      </c>
      <c r="I9">
        <f>ROUND(AVERAGE(D9:F9),0)</f>
        <v>85</v>
      </c>
    </row>
    <row r="10" spans="1:9" x14ac:dyDescent="0.2">
      <c r="A10" t="s">
        <v>17</v>
      </c>
      <c r="B10" t="s">
        <v>40</v>
      </c>
      <c r="C10">
        <v>7</v>
      </c>
      <c r="D10">
        <v>75</v>
      </c>
      <c r="E10">
        <v>90</v>
      </c>
      <c r="F10">
        <v>61</v>
      </c>
      <c r="G10">
        <v>95</v>
      </c>
      <c r="H10">
        <v>1</v>
      </c>
      <c r="I10">
        <f>ROUND(AVERAGE(D10:F10),0)</f>
        <v>75</v>
      </c>
    </row>
    <row r="11" spans="1:9" x14ac:dyDescent="0.2">
      <c r="A11" t="s">
        <v>18</v>
      </c>
      <c r="B11" t="s">
        <v>41</v>
      </c>
      <c r="C11">
        <v>8</v>
      </c>
      <c r="D11">
        <v>77</v>
      </c>
      <c r="E11">
        <v>93</v>
      </c>
      <c r="F11">
        <v>65</v>
      </c>
      <c r="G11">
        <v>97</v>
      </c>
      <c r="H11">
        <v>2</v>
      </c>
      <c r="I11">
        <f>ROUND(AVERAGE(D11:F11),0)</f>
        <v>78</v>
      </c>
    </row>
    <row r="12" spans="1:9" x14ac:dyDescent="0.2">
      <c r="A12" t="s">
        <v>19</v>
      </c>
      <c r="B12" t="s">
        <v>42</v>
      </c>
      <c r="C12">
        <v>4</v>
      </c>
      <c r="D12">
        <v>79</v>
      </c>
      <c r="E12">
        <v>61</v>
      </c>
      <c r="F12">
        <v>69</v>
      </c>
      <c r="G12">
        <v>99</v>
      </c>
      <c r="H12">
        <v>3</v>
      </c>
      <c r="I12">
        <f>ROUND(AVERAGE(D12:F12),0)</f>
        <v>70</v>
      </c>
    </row>
    <row r="13" spans="1:9" x14ac:dyDescent="0.2">
      <c r="A13" t="s">
        <v>20</v>
      </c>
      <c r="B13" t="s">
        <v>43</v>
      </c>
      <c r="C13">
        <v>5</v>
      </c>
      <c r="D13">
        <v>81</v>
      </c>
      <c r="E13">
        <v>64</v>
      </c>
      <c r="F13">
        <v>73</v>
      </c>
      <c r="G13">
        <v>76</v>
      </c>
      <c r="H13">
        <v>4</v>
      </c>
      <c r="I13">
        <f>ROUND(AVERAGE(D13:F13),0)</f>
        <v>73</v>
      </c>
    </row>
    <row r="14" spans="1:9" x14ac:dyDescent="0.2">
      <c r="A14" t="s">
        <v>21</v>
      </c>
      <c r="B14" t="s">
        <v>44</v>
      </c>
      <c r="C14">
        <v>6</v>
      </c>
      <c r="D14">
        <v>83</v>
      </c>
      <c r="E14">
        <v>67</v>
      </c>
      <c r="F14">
        <v>77</v>
      </c>
      <c r="G14">
        <v>78</v>
      </c>
      <c r="H14">
        <v>5</v>
      </c>
      <c r="I14">
        <f>ROUND(AVERAGE(D14:F14),0)</f>
        <v>76</v>
      </c>
    </row>
    <row r="15" spans="1:9" x14ac:dyDescent="0.2">
      <c r="A15" t="s">
        <v>22</v>
      </c>
      <c r="B15" t="s">
        <v>45</v>
      </c>
      <c r="C15">
        <v>7</v>
      </c>
      <c r="D15">
        <v>85</v>
      </c>
      <c r="E15">
        <v>70</v>
      </c>
      <c r="F15">
        <v>81</v>
      </c>
      <c r="G15">
        <v>80</v>
      </c>
      <c r="H15">
        <v>1</v>
      </c>
      <c r="I15">
        <f>ROUND(AVERAGE(D15:F15),0)</f>
        <v>79</v>
      </c>
    </row>
    <row r="16" spans="1:9" x14ac:dyDescent="0.2">
      <c r="A16" t="s">
        <v>23</v>
      </c>
      <c r="B16" t="s">
        <v>46</v>
      </c>
      <c r="C16">
        <v>8</v>
      </c>
      <c r="D16">
        <v>87</v>
      </c>
      <c r="E16">
        <v>73</v>
      </c>
      <c r="F16">
        <v>85</v>
      </c>
      <c r="G16">
        <v>82</v>
      </c>
      <c r="H16">
        <v>2</v>
      </c>
      <c r="I16">
        <f>ROUND(AVERAGE(D16:F16),0)</f>
        <v>82</v>
      </c>
    </row>
    <row r="17" spans="1:9" x14ac:dyDescent="0.2">
      <c r="A17" t="s">
        <v>24</v>
      </c>
      <c r="B17" t="s">
        <v>47</v>
      </c>
      <c r="C17">
        <v>4</v>
      </c>
      <c r="D17">
        <v>89</v>
      </c>
      <c r="E17">
        <v>76</v>
      </c>
      <c r="F17">
        <v>89</v>
      </c>
      <c r="G17">
        <v>84</v>
      </c>
      <c r="H17">
        <v>3</v>
      </c>
      <c r="I17">
        <f>ROUND(AVERAGE(D17:F17),0)</f>
        <v>85</v>
      </c>
    </row>
    <row r="18" spans="1:9" x14ac:dyDescent="0.2">
      <c r="A18" t="s">
        <v>25</v>
      </c>
      <c r="B18" t="s">
        <v>48</v>
      </c>
      <c r="C18">
        <v>5</v>
      </c>
      <c r="D18">
        <v>91</v>
      </c>
      <c r="E18">
        <v>79</v>
      </c>
      <c r="F18">
        <v>93</v>
      </c>
      <c r="G18">
        <v>86</v>
      </c>
      <c r="H18">
        <v>4</v>
      </c>
      <c r="I18">
        <f>ROUND(AVERAGE(D18:F18),0)</f>
        <v>88</v>
      </c>
    </row>
    <row r="19" spans="1:9" x14ac:dyDescent="0.2">
      <c r="A19" t="s">
        <v>26</v>
      </c>
      <c r="B19" t="s">
        <v>49</v>
      </c>
      <c r="C19">
        <v>6</v>
      </c>
      <c r="D19">
        <v>93</v>
      </c>
      <c r="E19">
        <v>82</v>
      </c>
      <c r="F19">
        <v>60</v>
      </c>
      <c r="G19">
        <v>88</v>
      </c>
      <c r="H19">
        <v>5</v>
      </c>
      <c r="I19">
        <f>ROUND(AVERAGE(D19:F19),0)</f>
        <v>78</v>
      </c>
    </row>
    <row r="20" spans="1:9" x14ac:dyDescent="0.2">
      <c r="A20" t="s">
        <v>27</v>
      </c>
      <c r="B20" t="s">
        <v>50</v>
      </c>
      <c r="C20">
        <v>7</v>
      </c>
      <c r="D20">
        <v>55</v>
      </c>
      <c r="E20">
        <v>85</v>
      </c>
      <c r="F20">
        <v>64</v>
      </c>
      <c r="G20">
        <v>90</v>
      </c>
      <c r="H20">
        <v>1</v>
      </c>
      <c r="I20">
        <f>ROUND(AVERAGE(D20:F20),0)</f>
        <v>68</v>
      </c>
    </row>
    <row r="21" spans="1:9" x14ac:dyDescent="0.2">
      <c r="A21" t="s">
        <v>28</v>
      </c>
      <c r="B21" t="s">
        <v>51</v>
      </c>
      <c r="C21">
        <v>8</v>
      </c>
      <c r="D21">
        <v>57</v>
      </c>
      <c r="E21">
        <v>88</v>
      </c>
      <c r="F21">
        <v>68</v>
      </c>
      <c r="G21">
        <v>92</v>
      </c>
      <c r="H21">
        <v>2</v>
      </c>
      <c r="I21">
        <f>ROUND(AVERAGE(D21:F21),0)</f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"/>
  <sheetData>
    <row r="1" spans="1:2" ht="21" x14ac:dyDescent="0.3">
      <c r="A1" s="2" t="s">
        <v>29</v>
      </c>
    </row>
    <row r="3" spans="1:2" x14ac:dyDescent="0.2">
      <c r="A3" t="s">
        <v>30</v>
      </c>
      <c r="B3">
        <f>AVERAGE('Student Data'!I2:I21)</f>
        <v>75.95</v>
      </c>
    </row>
    <row r="4" spans="1:2" x14ac:dyDescent="0.2">
      <c r="A4" t="s">
        <v>31</v>
      </c>
      <c r="B4">
        <f>AVERAGE('Student Data'!G2:G21)</f>
        <v>86.75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M365 Copilot</cp:lastModifiedBy>
  <dcterms:created xsi:type="dcterms:W3CDTF">2026-10-22T18:02:18Z</dcterms:created>
  <dcterms:modified xsi:type="dcterms:W3CDTF">2026-10-22T18:02:18Z</dcterms:modified>
</cp:coreProperties>
</file>